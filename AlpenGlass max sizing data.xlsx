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pencustomersupport-my.sharepoint.com/personal/kbiega_thinkalpen_com/Documents/Documents/IGUs/product info/"/>
    </mc:Choice>
  </mc:AlternateContent>
  <xr:revisionPtr revIDLastSave="89" documentId="8_{6BC49C80-0B7D-4E43-9150-F1797491F37A}" xr6:coauthVersionLast="47" xr6:coauthVersionMax="47" xr10:uidLastSave="{4D758896-21AD-49AD-9DF1-4BFA06D777FB}"/>
  <bookViews>
    <workbookView xWindow="-120" yWindow="-120" windowWidth="29040" windowHeight="15720" xr2:uid="{3B798C6C-F77F-4AFD-8CF8-D88FE96A59C4}"/>
  </bookViews>
  <sheets>
    <sheet name="Tempered - Tripl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E3" i="1"/>
  <c r="E4" i="1"/>
  <c r="E5" i="1"/>
  <c r="E6" i="1"/>
  <c r="E7" i="1"/>
  <c r="E8" i="1"/>
  <c r="E9" i="1"/>
  <c r="E10" i="1"/>
  <c r="E2" i="1"/>
</calcChain>
</file>

<file path=xl/sharedStrings.xml><?xml version="1.0" encoding="utf-8"?>
<sst xmlns="http://schemas.openxmlformats.org/spreadsheetml/2006/main" count="28" uniqueCount="20">
  <si>
    <t>Inner Lite</t>
  </si>
  <si>
    <t>Tempered or Annealed</t>
  </si>
  <si>
    <t>Tempered</t>
  </si>
  <si>
    <t>Name</t>
  </si>
  <si>
    <t>3mm-0.5mm-3mm</t>
  </si>
  <si>
    <t>3mm-1.1mm-3mm</t>
  </si>
  <si>
    <t>3mm-1.3mm-3mm</t>
  </si>
  <si>
    <t>5mm-0.5mm-5mm</t>
  </si>
  <si>
    <t>5mm-1.1mm-5mm</t>
  </si>
  <si>
    <t>5mm-1.3mm-5mm</t>
  </si>
  <si>
    <t>6mm-0.5mm-6mm</t>
  </si>
  <si>
    <t>6mm-1.1mm-6mm</t>
  </si>
  <si>
    <t>6mm-1.3mm-6mm</t>
  </si>
  <si>
    <t>Outer Lites</t>
  </si>
  <si>
    <t>CoreRange_ maxlongedge_inches</t>
  </si>
  <si>
    <t>CoreRange_maxshortedge_inches</t>
  </si>
  <si>
    <t>CoreRange_MaxArea_squarefeet</t>
  </si>
  <si>
    <t>Technical_limit_MaxArea_squarefeet</t>
  </si>
  <si>
    <t>Technical_limit_long edge_inches</t>
  </si>
  <si>
    <t>Technical_limit_short edge_inches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</si>
</sst>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2" fontId="0" fillId="0" borderId="1" xfId="0" applyNumberFormat="1" applyBorder="1"/>
    <xf numFmtId="2" fontId="0" fillId="0" borderId="8" xfId="0" applyNumberFormat="1" applyBorder="1"/>
  </cellXfs>
  <cellStyles count="1">
    <cellStyle name="Normal" xfId="0" builtinId="0"/>
  </cellStyles>
  <dxfs count="14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4DF495-D360-4BE4-9CD3-E5BDBE991E59}" name="Table1" displayName="Table1" ref="A1:J19" totalsRowShown="0" headerRowDxfId="13" headerRowBorderDxfId="12" tableBorderDxfId="11" totalsRowBorderDxfId="10">
  <autoFilter ref="A1:J19" xr:uid="{104DF495-D360-4BE4-9CD3-E5BDBE991E59}"/>
  <tableColumns count="10">
    <tableColumn id="1" xr3:uid="{E1CE173D-64FC-4C9D-8039-E16D1AA6F58F}" name="Name" dataDxfId="9"/>
    <tableColumn id="2" xr3:uid="{B2FBAAE5-7DE9-444C-9C4B-3C44D9D051A0}" name="Tempered or Annealed" dataDxfId="8"/>
    <tableColumn id="3" xr3:uid="{FEAF74A1-52AA-4BD9-8428-319E233A81D1}" name="Outer Lites" dataDxfId="7"/>
    <tableColumn id="4" xr3:uid="{10DA7476-5F75-41DE-BF9D-4ACDBCFAA4D2}" name="Inner Lite" dataDxfId="6"/>
    <tableColumn id="9" xr3:uid="{9E13ECA2-B6B1-4733-900A-5BE93A8D3345}" name="CoreRange_MaxArea_squarefeet" dataDxfId="5"/>
    <tableColumn id="5" xr3:uid="{1CF541CC-472A-4EE3-B047-98FC92EEAD7C}" name="CoreRange_ maxlongedge_inches" dataDxfId="4"/>
    <tableColumn id="6" xr3:uid="{B12C17A9-713B-4692-8891-55EC65102BE1}" name="CoreRange_maxshortedge_inches" dataDxfId="3"/>
    <tableColumn id="10" xr3:uid="{5FB2E640-B19A-436D-89BB-DA5D5C10B21F}" name="Technical_limit_MaxArea_squarefeet" dataDxfId="2">
      <calculatedColumnFormula>Table1[[#This Row],[Technical_limit_long edge_inches]]*Table1[[#This Row],[Technical_limit_short edge_inches]]/144</calculatedColumnFormula>
    </tableColumn>
    <tableColumn id="7" xr3:uid="{2F19F84F-DDBE-4044-AD2A-B4812AE21CC9}" name="Technical_limit_long edge_inches" dataDxfId="1"/>
    <tableColumn id="8" xr3:uid="{00E9EE44-E0EF-49D8-8234-306F251877DF}" name="Technical_limit_short edge_inch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BDFF-CB31-40DD-8A3F-BCA0E90AFF04}">
  <dimension ref="A1:J19"/>
  <sheetViews>
    <sheetView tabSelected="1" workbookViewId="0">
      <selection activeCell="G28" sqref="G28"/>
    </sheetView>
  </sheetViews>
  <sheetFormatPr defaultRowHeight="15" x14ac:dyDescent="0.25"/>
  <cols>
    <col min="1" max="1" width="22.5703125" customWidth="1"/>
    <col min="2" max="2" width="23.42578125" customWidth="1"/>
    <col min="3" max="3" width="13.140625" customWidth="1"/>
    <col min="4" max="4" width="11.7109375" customWidth="1"/>
    <col min="5" max="5" width="22.5703125" customWidth="1"/>
    <col min="6" max="6" width="26.42578125" customWidth="1"/>
    <col min="7" max="8" width="26.85546875" customWidth="1"/>
    <col min="9" max="9" width="25.85546875" customWidth="1"/>
    <col min="10" max="10" width="26.7109375" customWidth="1"/>
    <col min="11" max="11" width="24.28515625" customWidth="1"/>
  </cols>
  <sheetData>
    <row r="1" spans="1:10" x14ac:dyDescent="0.25">
      <c r="A1" s="4" t="s">
        <v>3</v>
      </c>
      <c r="B1" s="5" t="s">
        <v>1</v>
      </c>
      <c r="C1" s="5" t="s">
        <v>13</v>
      </c>
      <c r="D1" s="5" t="s">
        <v>0</v>
      </c>
      <c r="E1" s="5" t="s">
        <v>16</v>
      </c>
      <c r="F1" s="5" t="s">
        <v>14</v>
      </c>
      <c r="G1" s="5" t="s">
        <v>15</v>
      </c>
      <c r="H1" s="5" t="s">
        <v>17</v>
      </c>
      <c r="I1" s="5" t="s">
        <v>18</v>
      </c>
      <c r="J1" s="6" t="s">
        <v>19</v>
      </c>
    </row>
    <row r="2" spans="1:10" x14ac:dyDescent="0.25">
      <c r="A2" s="2" t="s">
        <v>4</v>
      </c>
      <c r="B2" s="1" t="s">
        <v>2</v>
      </c>
      <c r="C2" s="1">
        <v>3</v>
      </c>
      <c r="D2" s="1">
        <v>0.5</v>
      </c>
      <c r="E2" s="10">
        <f>Table1[[#This Row],[CoreRange_ maxlongedge_inches]]*Table1[[#This Row],[CoreRange_maxshortedge_inches]]/144</f>
        <v>20</v>
      </c>
      <c r="F2" s="1">
        <v>80</v>
      </c>
      <c r="G2" s="1">
        <v>36</v>
      </c>
      <c r="H2" s="10">
        <f>Table1[[#This Row],[Technical_limit_long edge_inches]]*Table1[[#This Row],[Technical_limit_short edge_inches]]/144</f>
        <v>20</v>
      </c>
      <c r="I2" s="1">
        <v>80</v>
      </c>
      <c r="J2" s="3">
        <v>36</v>
      </c>
    </row>
    <row r="3" spans="1:10" x14ac:dyDescent="0.25">
      <c r="A3" s="2" t="s">
        <v>5</v>
      </c>
      <c r="B3" s="1" t="s">
        <v>2</v>
      </c>
      <c r="C3" s="1">
        <v>3</v>
      </c>
      <c r="D3" s="1">
        <v>1.1000000000000001</v>
      </c>
      <c r="E3" s="10">
        <f>Table1[[#This Row],[CoreRange_ maxlongedge_inches]]*Table1[[#This Row],[CoreRange_maxshortedge_inches]]/144</f>
        <v>20</v>
      </c>
      <c r="F3" s="1">
        <v>80</v>
      </c>
      <c r="G3" s="1">
        <v>36</v>
      </c>
      <c r="H3" s="10">
        <f>Table1[[#This Row],[Technical_limit_long edge_inches]]*Table1[[#This Row],[Technical_limit_short edge_inches]]/144</f>
        <v>20</v>
      </c>
      <c r="I3" s="1">
        <v>80</v>
      </c>
      <c r="J3" s="3">
        <v>36</v>
      </c>
    </row>
    <row r="4" spans="1:10" x14ac:dyDescent="0.25">
      <c r="A4" s="2" t="s">
        <v>6</v>
      </c>
      <c r="B4" s="1" t="s">
        <v>2</v>
      </c>
      <c r="C4" s="1">
        <v>3</v>
      </c>
      <c r="D4" s="1">
        <v>1.3</v>
      </c>
      <c r="E4" s="10">
        <f>Table1[[#This Row],[CoreRange_ maxlongedge_inches]]*Table1[[#This Row],[CoreRange_maxshortedge_inches]]/144</f>
        <v>20</v>
      </c>
      <c r="F4" s="1">
        <v>80</v>
      </c>
      <c r="G4" s="1">
        <v>36</v>
      </c>
      <c r="H4" s="10">
        <f>Table1[[#This Row],[Technical_limit_long edge_inches]]*Table1[[#This Row],[Technical_limit_short edge_inches]]/144</f>
        <v>20</v>
      </c>
      <c r="I4" s="1">
        <v>80</v>
      </c>
      <c r="J4" s="3">
        <v>36</v>
      </c>
    </row>
    <row r="5" spans="1:10" x14ac:dyDescent="0.25">
      <c r="A5" s="2" t="s">
        <v>7</v>
      </c>
      <c r="B5" s="1" t="s">
        <v>2</v>
      </c>
      <c r="C5" s="1">
        <v>5</v>
      </c>
      <c r="D5" s="1">
        <v>0.5</v>
      </c>
      <c r="E5" s="10">
        <f>Table1[[#This Row],[CoreRange_ maxlongedge_inches]]*Table1[[#This Row],[CoreRange_maxshortedge_inches]]/144</f>
        <v>40.833333333333336</v>
      </c>
      <c r="F5" s="1">
        <v>98</v>
      </c>
      <c r="G5" s="1">
        <v>60</v>
      </c>
      <c r="H5" s="10">
        <f>Table1[[#This Row],[Technical_limit_long edge_inches]]*Table1[[#This Row],[Technical_limit_short edge_inches]]/144</f>
        <v>50</v>
      </c>
      <c r="I5" s="1">
        <v>120</v>
      </c>
      <c r="J5" s="3">
        <v>60</v>
      </c>
    </row>
    <row r="6" spans="1:10" x14ac:dyDescent="0.25">
      <c r="A6" s="2" t="s">
        <v>8</v>
      </c>
      <c r="B6" s="1" t="s">
        <v>2</v>
      </c>
      <c r="C6" s="1">
        <v>5</v>
      </c>
      <c r="D6" s="1">
        <v>1.1000000000000001</v>
      </c>
      <c r="E6" s="10">
        <f>Table1[[#This Row],[CoreRange_ maxlongedge_inches]]*Table1[[#This Row],[CoreRange_maxshortedge_inches]]/144</f>
        <v>41.666666666666664</v>
      </c>
      <c r="F6" s="1">
        <v>100</v>
      </c>
      <c r="G6" s="1">
        <v>60</v>
      </c>
      <c r="H6" s="10">
        <f>Table1[[#This Row],[Technical_limit_long edge_inches]]*Table1[[#This Row],[Technical_limit_short edge_inches]]/144</f>
        <v>50</v>
      </c>
      <c r="I6" s="1">
        <v>120</v>
      </c>
      <c r="J6" s="3">
        <v>60</v>
      </c>
    </row>
    <row r="7" spans="1:10" x14ac:dyDescent="0.25">
      <c r="A7" s="2" t="s">
        <v>9</v>
      </c>
      <c r="B7" s="1" t="s">
        <v>2</v>
      </c>
      <c r="C7" s="1">
        <v>5</v>
      </c>
      <c r="D7" s="1">
        <v>1.3</v>
      </c>
      <c r="E7" s="10">
        <f>Table1[[#This Row],[CoreRange_ maxlongedge_inches]]*Table1[[#This Row],[CoreRange_maxshortedge_inches]]/144</f>
        <v>49.166666666666664</v>
      </c>
      <c r="F7" s="1">
        <v>120</v>
      </c>
      <c r="G7" s="1">
        <v>59</v>
      </c>
      <c r="H7" s="10">
        <f>Table1[[#This Row],[Technical_limit_long edge_inches]]*Table1[[#This Row],[Technical_limit_short edge_inches]]/144</f>
        <v>50</v>
      </c>
      <c r="I7" s="1">
        <v>120</v>
      </c>
      <c r="J7" s="3">
        <v>60</v>
      </c>
    </row>
    <row r="8" spans="1:10" x14ac:dyDescent="0.25">
      <c r="A8" s="2" t="s">
        <v>10</v>
      </c>
      <c r="B8" s="1" t="s">
        <v>2</v>
      </c>
      <c r="C8" s="1">
        <v>6</v>
      </c>
      <c r="D8" s="1">
        <v>0.5</v>
      </c>
      <c r="E8" s="10">
        <f>Table1[[#This Row],[CoreRange_ maxlongedge_inches]]*Table1[[#This Row],[CoreRange_maxshortedge_inches]]/144</f>
        <v>49</v>
      </c>
      <c r="F8" s="1">
        <v>98</v>
      </c>
      <c r="G8" s="1">
        <v>72</v>
      </c>
      <c r="H8" s="10">
        <f>Table1[[#This Row],[Technical_limit_long edge_inches]]*Table1[[#This Row],[Technical_limit_short edge_inches]]/144</f>
        <v>60</v>
      </c>
      <c r="I8" s="1">
        <v>120</v>
      </c>
      <c r="J8" s="3">
        <v>72</v>
      </c>
    </row>
    <row r="9" spans="1:10" x14ac:dyDescent="0.25">
      <c r="A9" s="2" t="s">
        <v>11</v>
      </c>
      <c r="B9" s="1" t="s">
        <v>2</v>
      </c>
      <c r="C9" s="1">
        <v>6</v>
      </c>
      <c r="D9" s="1">
        <v>1.1000000000000001</v>
      </c>
      <c r="E9" s="10">
        <f>Table1[[#This Row],[CoreRange_ maxlongedge_inches]]*Table1[[#This Row],[CoreRange_maxshortedge_inches]]/144</f>
        <v>50</v>
      </c>
      <c r="F9" s="1">
        <v>100</v>
      </c>
      <c r="G9" s="1">
        <v>72</v>
      </c>
      <c r="H9" s="10">
        <f>Table1[[#This Row],[Technical_limit_long edge_inches]]*Table1[[#This Row],[Technical_limit_short edge_inches]]/144</f>
        <v>60</v>
      </c>
      <c r="I9" s="1">
        <v>120</v>
      </c>
      <c r="J9" s="3">
        <v>72</v>
      </c>
    </row>
    <row r="10" spans="1:10" x14ac:dyDescent="0.25">
      <c r="A10" s="7" t="s">
        <v>12</v>
      </c>
      <c r="B10" s="8" t="s">
        <v>2</v>
      </c>
      <c r="C10" s="8">
        <v>6</v>
      </c>
      <c r="D10" s="8">
        <v>1.3</v>
      </c>
      <c r="E10" s="10">
        <f>Table1[[#This Row],[CoreRange_ maxlongedge_inches]]*Table1[[#This Row],[CoreRange_maxshortedge_inches]]/144</f>
        <v>49.166666666666664</v>
      </c>
      <c r="F10" s="8">
        <v>120</v>
      </c>
      <c r="G10" s="8">
        <v>59</v>
      </c>
      <c r="H10" s="11">
        <f>Table1[[#This Row],[Technical_limit_long edge_inches]]*Table1[[#This Row],[Technical_limit_short edge_inches]]/144</f>
        <v>60</v>
      </c>
      <c r="I10" s="8">
        <v>120</v>
      </c>
      <c r="J10" s="9">
        <v>72</v>
      </c>
    </row>
    <row r="11" spans="1:10" x14ac:dyDescent="0.25">
      <c r="A11" s="2"/>
      <c r="B11" s="1"/>
      <c r="C11" s="1"/>
      <c r="D11" s="1"/>
      <c r="E11" s="10"/>
      <c r="F11" s="1"/>
      <c r="G11" s="1"/>
      <c r="H11" s="10"/>
      <c r="I11" s="1"/>
      <c r="J11" s="3"/>
    </row>
    <row r="12" spans="1:10" x14ac:dyDescent="0.25">
      <c r="A12" s="2"/>
      <c r="B12" s="1"/>
      <c r="C12" s="1"/>
      <c r="D12" s="1"/>
      <c r="E12" s="10"/>
      <c r="F12" s="1"/>
      <c r="G12" s="1"/>
      <c r="H12" s="10"/>
      <c r="I12" s="1"/>
      <c r="J12" s="3"/>
    </row>
    <row r="13" spans="1:10" x14ac:dyDescent="0.25">
      <c r="A13" s="2"/>
      <c r="B13" s="1"/>
      <c r="C13" s="1"/>
      <c r="D13" s="1"/>
      <c r="E13" s="10"/>
      <c r="F13" s="1"/>
      <c r="G13" s="1"/>
      <c r="H13" s="10"/>
      <c r="I13" s="1"/>
      <c r="J13" s="3"/>
    </row>
    <row r="14" spans="1:10" x14ac:dyDescent="0.25">
      <c r="A14" s="2"/>
      <c r="B14" s="1"/>
      <c r="C14" s="1"/>
      <c r="D14" s="1"/>
      <c r="E14" s="10"/>
      <c r="F14" s="1"/>
      <c r="G14" s="1"/>
      <c r="H14" s="10"/>
      <c r="I14" s="1"/>
      <c r="J14" s="3"/>
    </row>
    <row r="15" spans="1:10" x14ac:dyDescent="0.25">
      <c r="A15" s="2"/>
      <c r="B15" s="1"/>
      <c r="C15" s="1"/>
      <c r="D15" s="1"/>
      <c r="E15" s="10"/>
      <c r="F15" s="1"/>
      <c r="G15" s="1"/>
      <c r="H15" s="10"/>
      <c r="I15" s="1"/>
      <c r="J15" s="3"/>
    </row>
    <row r="16" spans="1:10" x14ac:dyDescent="0.25">
      <c r="A16" s="2"/>
      <c r="B16" s="1"/>
      <c r="C16" s="1"/>
      <c r="D16" s="1"/>
      <c r="E16" s="10"/>
      <c r="F16" s="1"/>
      <c r="G16" s="1"/>
      <c r="H16" s="10"/>
      <c r="I16" s="1"/>
      <c r="J16" s="3"/>
    </row>
    <row r="17" spans="1:10" x14ac:dyDescent="0.25">
      <c r="A17" s="2"/>
      <c r="B17" s="1"/>
      <c r="C17" s="1"/>
      <c r="D17" s="1"/>
      <c r="E17" s="10"/>
      <c r="F17" s="1"/>
      <c r="G17" s="1"/>
      <c r="H17" s="10"/>
      <c r="I17" s="1"/>
      <c r="J17" s="3"/>
    </row>
    <row r="18" spans="1:10" x14ac:dyDescent="0.25">
      <c r="A18" s="2"/>
      <c r="B18" s="1"/>
      <c r="C18" s="1"/>
      <c r="D18" s="1"/>
      <c r="E18" s="10"/>
      <c r="F18" s="1"/>
      <c r="G18" s="1"/>
      <c r="H18" s="10"/>
      <c r="I18" s="1"/>
      <c r="J18" s="3"/>
    </row>
    <row r="19" spans="1:10" x14ac:dyDescent="0.25">
      <c r="A19" s="7"/>
      <c r="B19" s="1"/>
      <c r="C19" s="8"/>
      <c r="D19" s="8"/>
      <c r="E19" s="10"/>
      <c r="F19" s="8"/>
      <c r="G19" s="1"/>
      <c r="H19" s="11"/>
      <c r="I19" s="8"/>
      <c r="J19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Tempered - Triples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Biega</dc:creator>
  <cp:lastModifiedBy>Kyle Biega</cp:lastModifiedBy>
  <dcterms:created xsi:type="dcterms:W3CDTF">2025-10-07T16:19:48Z</dcterms:created>
  <dcterms:modified xsi:type="dcterms:W3CDTF">2025-10-07T23:02:37Z</dcterms:modified>
</cp:coreProperties>
</file>